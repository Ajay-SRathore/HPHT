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B298189-72A0-42FD-92DF-95B720F6A3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su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<sst xmlns="http://schemas.openxmlformats.org/spreadsheetml/2006/main" count="57" uniqueCount="38">
  <si>
    <t>CLIENT CODE</t>
  </si>
  <si>
    <t>KA ID</t>
  </si>
  <si>
    <t>SHAPE</t>
  </si>
  <si>
    <t>ISSUE DATE</t>
  </si>
  <si>
    <t>ROUGH TYPE</t>
  </si>
  <si>
    <t>RETURN DATE</t>
  </si>
  <si>
    <t>RETURN WEIGHT</t>
  </si>
  <si>
    <t>SHASHVAT JEWELS PVT LTD</t>
  </si>
  <si>
    <t>OV</t>
  </si>
  <si>
    <t>ND</t>
  </si>
  <si>
    <t>PS</t>
  </si>
  <si>
    <t>RD</t>
  </si>
  <si>
    <t>BHADANI</t>
  </si>
  <si>
    <t>MQ</t>
  </si>
  <si>
    <t>SC</t>
  </si>
  <si>
    <t>THOMAS</t>
  </si>
  <si>
    <t xml:space="preserve">   </t>
  </si>
  <si>
    <t>SD</t>
  </si>
  <si>
    <t>RAD</t>
  </si>
  <si>
    <t>LOCAL</t>
  </si>
  <si>
    <t xml:space="preserve"> </t>
  </si>
  <si>
    <t>OVAL</t>
  </si>
  <si>
    <t>SRNO</t>
  </si>
  <si>
    <t>ISSUE WEIGHT</t>
  </si>
  <si>
    <t>remarks</t>
  </si>
  <si>
    <t>PCS</t>
  </si>
  <si>
    <t>CLIENTNAME</t>
  </si>
  <si>
    <t>CLIENTID</t>
  </si>
  <si>
    <t>LLA634A-223</t>
  </si>
  <si>
    <t>LLA634A-225</t>
  </si>
  <si>
    <t>LLA634A-227</t>
  </si>
  <si>
    <t>LLA634A-229</t>
  </si>
  <si>
    <t>LLA634A-224</t>
  </si>
  <si>
    <t>LLA634A-226</t>
  </si>
  <si>
    <t>LLA634A-228</t>
  </si>
  <si>
    <t>LLA634A-230</t>
  </si>
  <si>
    <t>LLA634A-231</t>
  </si>
  <si>
    <t>LLA634A-232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</si>
</sst>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/>
      <right style="thin">
        <color rgb="FF356854"/>
      </right>
      <top style="thin">
        <color rgb="FF35685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/>
    </xf>
    <xf numFmtId="0" fontId="4" fillId="4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J14" sqref="J14"/>
    </sheetView>
  </sheetViews>
  <sheetFormatPr defaultRowHeight="14.4" x14ac:dyDescent="0.3"/>
  <cols>
    <col min="2" max="2" width="22.77734375" bestFit="1" customWidth="1"/>
    <col min="3" max="3" width="11.21875" bestFit="1" customWidth="1"/>
    <col min="4" max="4" width="10.88671875" bestFit="1" customWidth="1"/>
    <col min="5" max="5" width="11.6640625" bestFit="1" customWidth="1"/>
    <col min="6" max="6" width="11.6640625" customWidth="1"/>
    <col min="7" max="7" width="23.44140625" customWidth="1"/>
    <col min="9" max="9" width="10.33203125" bestFit="1" customWidth="1"/>
    <col min="10" max="10" width="11.33203125" bestFit="1" customWidth="1"/>
    <col min="11" max="11" width="12" bestFit="1" customWidth="1"/>
    <col min="12" max="12" width="14.44140625" bestFit="1" customWidth="1"/>
  </cols>
  <sheetData>
    <row r="1" spans="1:13" x14ac:dyDescent="0.3">
      <c r="A1" s="1" t="s">
        <v>22</v>
      </c>
      <c r="B1" s="2" t="s">
        <v>26</v>
      </c>
      <c r="C1" s="3" t="s">
        <v>0</v>
      </c>
      <c r="D1" s="2" t="s">
        <v>1</v>
      </c>
      <c r="E1" s="2" t="s">
        <v>27</v>
      </c>
      <c r="F1" s="2" t="s">
        <v>25</v>
      </c>
      <c r="G1" s="2" t="s">
        <v>23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4" t="s">
        <v>24</v>
      </c>
    </row>
    <row r="2" spans="1:13" ht="15.6" x14ac:dyDescent="0.3">
      <c r="A2" s="5">
        <v>1</v>
      </c>
      <c r="B2" s="6" t="s">
        <v>7</v>
      </c>
      <c r="C2" s="7">
        <f ca="1">IFERROR(__xludf.DUMMYFUNCTION("IFERROR(VLOOKUP(TRIM(B2),IMPORTRANGE(""14N0y-t3G954_kz1ubYaar_thJOzUbcwqdgsg5Mfe4EA"",""Sheet1!A:C""),2,FALSE),0)"),372)</f>
        <v>372</v>
      </c>
      <c r="D2" s="5"/>
      <c r="E2" s="5" t="s">
        <v>28</v>
      </c>
      <c r="F2" s="5">
        <v>1</v>
      </c>
      <c r="G2" s="5">
        <v>1.89</v>
      </c>
      <c r="H2" s="5" t="s">
        <v>8</v>
      </c>
      <c r="I2" s="8">
        <v>46126</v>
      </c>
      <c r="J2" s="9" t="s">
        <v>9</v>
      </c>
      <c r="K2" s="8">
        <v>46121</v>
      </c>
      <c r="L2" s="5">
        <v>1.89</v>
      </c>
      <c r="M2" s="5"/>
    </row>
    <row r="3" spans="1:13" ht="15.6" x14ac:dyDescent="0.3">
      <c r="A3" s="10">
        <v>2</v>
      </c>
      <c r="B3" s="11" t="s">
        <v>7</v>
      </c>
      <c r="C3" s="12">
        <f ca="1">IFERROR(__xludf.DUMMYFUNCTION("IFERROR(VLOOKUP(TRIM(B3),IMPORTRANGE(""14N0y-t3G954_kz1ubYaar_thJOzUbcwqdgsg5Mfe4EA"",""Sheet1!A:C""),2,FALSE),0)"),372)</f>
        <v>372</v>
      </c>
      <c r="D3" s="10"/>
      <c r="E3" s="5" t="s">
        <v>32</v>
      </c>
      <c r="F3" s="10">
        <v>1</v>
      </c>
      <c r="G3" s="10">
        <v>2.42</v>
      </c>
      <c r="H3" s="10" t="s">
        <v>10</v>
      </c>
      <c r="I3" s="8">
        <v>46127</v>
      </c>
      <c r="J3" s="14" t="s">
        <v>9</v>
      </c>
      <c r="K3" s="13">
        <v>46121</v>
      </c>
      <c r="L3" s="10">
        <v>2.42</v>
      </c>
      <c r="M3" s="10" t="s">
        <v>16</v>
      </c>
    </row>
    <row r="4" spans="1:13" ht="15.6" x14ac:dyDescent="0.3">
      <c r="A4" s="5">
        <v>3</v>
      </c>
      <c r="B4" s="6" t="s">
        <v>7</v>
      </c>
      <c r="C4" s="7">
        <f ca="1">IFERROR(__xludf.DUMMYFUNCTION("IFERROR(VLOOKUP(TRIM(B4),IMPORTRANGE(""14N0y-t3G954_kz1ubYaar_thJOzUbcwqdgsg5Mfe4EA"",""Sheet1!A:C""),2,FALSE),0)"),372)</f>
        <v>372</v>
      </c>
      <c r="D4" s="5"/>
      <c r="E4" s="5" t="s">
        <v>29</v>
      </c>
      <c r="F4" s="10">
        <v>1</v>
      </c>
      <c r="G4" s="5">
        <v>0.68</v>
      </c>
      <c r="H4" s="5" t="s">
        <v>11</v>
      </c>
      <c r="I4" s="8">
        <v>46128</v>
      </c>
      <c r="J4" s="9" t="s">
        <v>9</v>
      </c>
      <c r="K4" s="8">
        <v>46121</v>
      </c>
      <c r="L4" s="5">
        <v>0.68</v>
      </c>
      <c r="M4" s="5"/>
    </row>
    <row r="5" spans="1:13" ht="15.6" x14ac:dyDescent="0.3">
      <c r="A5" s="10">
        <v>4</v>
      </c>
      <c r="B5" s="11" t="s">
        <v>7</v>
      </c>
      <c r="C5" s="12">
        <f ca="1">IFERROR(__xludf.DUMMYFUNCTION("IFERROR(VLOOKUP(TRIM(B5),IMPORTRANGE(""14N0y-t3G954_kz1ubYaar_thJOzUbcwqdgsg5Mfe4EA"",""Sheet1!A:C""),2,FALSE),0)"),372)</f>
        <v>372</v>
      </c>
      <c r="D5" s="10"/>
      <c r="E5" s="5" t="s">
        <v>33</v>
      </c>
      <c r="F5" s="10">
        <v>1</v>
      </c>
      <c r="G5" s="10">
        <v>2.08</v>
      </c>
      <c r="H5" s="10" t="s">
        <v>8</v>
      </c>
      <c r="I5" s="8">
        <v>46129</v>
      </c>
      <c r="J5" s="14" t="s">
        <v>12</v>
      </c>
      <c r="K5" s="13">
        <v>46121</v>
      </c>
      <c r="L5" s="10">
        <v>2.08</v>
      </c>
      <c r="M5" s="10"/>
    </row>
    <row r="6" spans="1:13" ht="15.6" x14ac:dyDescent="0.3">
      <c r="A6" s="5">
        <v>5</v>
      </c>
      <c r="B6" s="6" t="s">
        <v>7</v>
      </c>
      <c r="C6" s="7">
        <f ca="1">IFERROR(__xludf.DUMMYFUNCTION("IFERROR(VLOOKUP(TRIM(B6),IMPORTRANGE(""14N0y-t3G954_kz1ubYaar_thJOzUbcwqdgsg5Mfe4EA"",""Sheet1!A:C""),2,FALSE),0)"),372)</f>
        <v>372</v>
      </c>
      <c r="D6" s="5"/>
      <c r="E6" s="5" t="s">
        <v>30</v>
      </c>
      <c r="F6" s="10">
        <v>1</v>
      </c>
      <c r="G6" s="5">
        <v>0.4</v>
      </c>
      <c r="H6" s="5" t="s">
        <v>13</v>
      </c>
      <c r="I6" s="8">
        <v>46130</v>
      </c>
      <c r="J6" s="9" t="s">
        <v>12</v>
      </c>
      <c r="K6" s="8">
        <v>46121</v>
      </c>
      <c r="L6" s="5">
        <v>0.4</v>
      </c>
      <c r="M6" s="5"/>
    </row>
    <row r="7" spans="1:13" ht="15.6" x14ac:dyDescent="0.3">
      <c r="A7" s="10">
        <v>6</v>
      </c>
      <c r="B7" s="11" t="s">
        <v>7</v>
      </c>
      <c r="C7" s="12">
        <f ca="1">IFERROR(__xludf.DUMMYFUNCTION("IFERROR(VLOOKUP(TRIM(B7),IMPORTRANGE(""14N0y-t3G954_kz1ubYaar_thJOzUbcwqdgsg5Mfe4EA"",""Sheet1!A:C""),2,FALSE),0)"),372)</f>
        <v>372</v>
      </c>
      <c r="D7" s="10"/>
      <c r="E7" s="5" t="s">
        <v>34</v>
      </c>
      <c r="F7" s="10">
        <v>1</v>
      </c>
      <c r="G7" s="10">
        <v>1.31</v>
      </c>
      <c r="H7" s="10" t="s">
        <v>13</v>
      </c>
      <c r="I7" s="8">
        <v>46131</v>
      </c>
      <c r="J7" s="14" t="s">
        <v>12</v>
      </c>
      <c r="K7" s="13">
        <v>46121</v>
      </c>
      <c r="L7" s="10">
        <v>1.31</v>
      </c>
      <c r="M7" s="10"/>
    </row>
    <row r="8" spans="1:13" ht="15.6" x14ac:dyDescent="0.3">
      <c r="A8" s="5">
        <v>7</v>
      </c>
      <c r="B8" s="6" t="s">
        <v>7</v>
      </c>
      <c r="C8" s="7">
        <f ca="1">IFERROR(__xludf.DUMMYFUNCTION("IFERROR(VLOOKUP(TRIM(B8),IMPORTRANGE(""14N0y-t3G954_kz1ubYaar_thJOzUbcwqdgsg5Mfe4EA"",""Sheet1!A:C""),2,FALSE),0)"),372)</f>
        <v>372</v>
      </c>
      <c r="D8" s="5"/>
      <c r="E8" s="5" t="s">
        <v>31</v>
      </c>
      <c r="F8" s="10">
        <v>1</v>
      </c>
      <c r="G8" s="5">
        <v>1.79</v>
      </c>
      <c r="H8" s="5" t="s">
        <v>14</v>
      </c>
      <c r="I8" s="8">
        <v>46132</v>
      </c>
      <c r="J8" s="9" t="s">
        <v>15</v>
      </c>
      <c r="K8" s="8">
        <v>46121</v>
      </c>
      <c r="L8" s="5">
        <v>1.79</v>
      </c>
      <c r="M8" s="5" t="s">
        <v>16</v>
      </c>
    </row>
    <row r="9" spans="1:13" ht="15.6" x14ac:dyDescent="0.3">
      <c r="A9" s="10">
        <v>8</v>
      </c>
      <c r="B9" s="11" t="s">
        <v>17</v>
      </c>
      <c r="C9" s="12">
        <f ca="1">IFERROR(__xludf.DUMMYFUNCTION("IFERROR(VLOOKUP(TRIM(B9),IMPORTRANGE(""14N0y-t3G954_kz1ubYaar_thJOzUbcwqdgsg5Mfe4EA"",""Sheet1!A:C""),2,FALSE),0)"),98)</f>
        <v>98</v>
      </c>
      <c r="D9" s="10"/>
      <c r="E9" s="5" t="s">
        <v>35</v>
      </c>
      <c r="F9" s="10">
        <v>1</v>
      </c>
      <c r="G9" s="10">
        <v>3.96</v>
      </c>
      <c r="H9" s="10" t="s">
        <v>18</v>
      </c>
      <c r="I9" s="8">
        <v>46133</v>
      </c>
      <c r="J9" s="14" t="s">
        <v>19</v>
      </c>
      <c r="K9" s="13">
        <v>46126</v>
      </c>
      <c r="L9" s="10">
        <v>3.96</v>
      </c>
      <c r="M9" s="10" t="s">
        <v>20</v>
      </c>
    </row>
    <row r="10" spans="1:13" ht="15.6" x14ac:dyDescent="0.3">
      <c r="A10" s="5">
        <v>9</v>
      </c>
      <c r="B10" s="6" t="s">
        <v>17</v>
      </c>
      <c r="C10" s="7">
        <f ca="1">IFERROR(__xludf.DUMMYFUNCTION("IFERROR(VLOOKUP(TRIM(B10),IMPORTRANGE(""14N0y-t3G954_kz1ubYaar_thJOzUbcwqdgsg5Mfe4EA"",""Sheet1!A:C""),2,FALSE),0)"),98)</f>
        <v>98</v>
      </c>
      <c r="D10" s="5"/>
      <c r="E10" s="5" t="s">
        <v>36</v>
      </c>
      <c r="F10" s="10">
        <v>1</v>
      </c>
      <c r="G10" s="5">
        <v>3.82</v>
      </c>
      <c r="H10" s="5" t="s">
        <v>18</v>
      </c>
      <c r="I10" s="8">
        <v>46134</v>
      </c>
      <c r="J10" s="9" t="s">
        <v>19</v>
      </c>
      <c r="K10" s="8">
        <v>46126</v>
      </c>
      <c r="L10" s="5">
        <v>3.82</v>
      </c>
      <c r="M10" s="5" t="s">
        <v>20</v>
      </c>
    </row>
    <row r="11" spans="1:13" ht="15.6" x14ac:dyDescent="0.3">
      <c r="A11" s="10">
        <v>10</v>
      </c>
      <c r="B11" s="11" t="s">
        <v>17</v>
      </c>
      <c r="C11" s="12">
        <f ca="1">IFERROR(__xludf.DUMMYFUNCTION("IFERROR(VLOOKUP(TRIM(B11),IMPORTRANGE(""14N0y-t3G954_kz1ubYaar_thJOzUbcwqdgsg5Mfe4EA"",""Sheet1!A:C""),2,FALSE),0)"),98)</f>
        <v>98</v>
      </c>
      <c r="D11" s="10"/>
      <c r="E11" s="5" t="s">
        <v>37</v>
      </c>
      <c r="F11" s="10">
        <v>1</v>
      </c>
      <c r="G11" s="10">
        <v>2.97</v>
      </c>
      <c r="H11" s="10" t="s">
        <v>21</v>
      </c>
      <c r="I11" s="8">
        <v>46135</v>
      </c>
      <c r="J11" s="14" t="s">
        <v>19</v>
      </c>
      <c r="K11" s="13">
        <v>46126</v>
      </c>
      <c r="L11" s="10">
        <v>2.97</v>
      </c>
      <c r="M11" s="10"/>
    </row>
  </sheetData>
  <phoneticPr fontId="5" type="noConversion"/>
  <dataValidations count="2">
    <dataValidation type="list" allowBlank="1" sqref="J2:J11" xr:uid="{F8E3ABEA-4758-4C09-8B06-9736F6BE1564}">
      <formula1>"ND,THOMAS,D FOUNDRY,BHADANI,BHANDARI,LOCAL,MAITRI,NIMBO,ASIAN,JAIPURI,STONE LAB ,CHINA,KIRAN,BATHWARI"</formula1>
    </dataValidation>
    <dataValidation type="list" allowBlank="1" sqref="B2:B11" xr:uid="{60537F32-37D5-421B-ADCE-9C5E5978804A}">
      <formula1>"SHASHVAT JEWELS PVT LTD,SD,K TRUSHA,JD GEMS,RUDRA ENTERPRISE,RANPARIYA GEMS,BAHUBALI,MARUTI NANDAN,PARV SHAH,SM DIAMOND,AKSHAR IMPEX,RJ DIAMONDS,DHOLAKIA TECHNOLOGIES"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 Singh Rathore</cp:lastModifiedBy>
  <dcterms:created xsi:type="dcterms:W3CDTF">2026-04-28T12:31:18Z</dcterms:created>
  <dcterms:modified xsi:type="dcterms:W3CDTF">2026-05-15T10:47:52Z</dcterms:modified>
</cp:coreProperties>
</file>