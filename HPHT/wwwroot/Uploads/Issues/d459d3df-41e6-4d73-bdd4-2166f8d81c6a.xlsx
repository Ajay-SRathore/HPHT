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4FDD38-90C8-45CC-9994-9BBB460C4E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  <c r="D2" i="1" s="1"/>
  <c r="D7" i="1" l="1"/>
  <c r="D8" i="1"/>
  <c r="D9" i="1"/>
  <c r="D10" i="1"/>
  <c r="D11" i="1"/>
  <c r="D3" i="1"/>
  <c r="D6" i="1"/>
  <c r="D4" i="1"/>
  <c r="D5" i="1"/>
</calcChain>
</file>

<file path=xl/sharedStrings.xml><?xml version="1.0" encoding="utf-8"?>
<sst xmlns="http://schemas.openxmlformats.org/spreadsheetml/2006/main" count="56" uniqueCount="38">
  <si>
    <t>CLIENT CODE</t>
  </si>
  <si>
    <t>KA ID</t>
  </si>
  <si>
    <t>CLIENT ID</t>
  </si>
  <si>
    <t>SHAPE</t>
  </si>
  <si>
    <t>ISSUE DATE</t>
  </si>
  <si>
    <t>ROUGH TYPE</t>
  </si>
  <si>
    <t>RETURN DATE</t>
  </si>
  <si>
    <t>RETURN WEIGHT</t>
  </si>
  <si>
    <t>SHASHVAT JEWELS PVT LTD</t>
  </si>
  <si>
    <t>LLA634A-14</t>
  </si>
  <si>
    <t>OV</t>
  </si>
  <si>
    <t>ND</t>
  </si>
  <si>
    <t>LLA658A-48</t>
  </si>
  <si>
    <t>PS</t>
  </si>
  <si>
    <t>LLA642A-17</t>
  </si>
  <si>
    <t>RD</t>
  </si>
  <si>
    <t>LEP200A-102</t>
  </si>
  <si>
    <t>BHADANI</t>
  </si>
  <si>
    <t>LEP198A-554</t>
  </si>
  <si>
    <t>MQ</t>
  </si>
  <si>
    <t>LEP198A-571</t>
  </si>
  <si>
    <t>LLK50A-9</t>
  </si>
  <si>
    <t>SC</t>
  </si>
  <si>
    <t>THOMAS</t>
  </si>
  <si>
    <t xml:space="preserve">   </t>
  </si>
  <si>
    <t>SD</t>
  </si>
  <si>
    <t>Y-Z</t>
  </si>
  <si>
    <t>RAD</t>
  </si>
  <si>
    <t>LOCAL</t>
  </si>
  <si>
    <t xml:space="preserve"> </t>
  </si>
  <si>
    <t>Y-1</t>
  </si>
  <si>
    <t>Y.1.A</t>
  </si>
  <si>
    <t>OVAL</t>
  </si>
  <si>
    <t>SRNO</t>
  </si>
  <si>
    <t>ISSUE WEIGHT</t>
  </si>
  <si>
    <t>remarks</t>
  </si>
  <si>
    <t>PCS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</si>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</sst>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B1" sqref="B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33</v>
      </c>
      <c r="B1" s="2" t="s">
        <v>37</v>
      </c>
      <c r="C1" s="3" t="s">
        <v>0</v>
      </c>
      <c r="D1" s="2" t="s">
        <v>1</v>
      </c>
      <c r="E1" s="2" t="s">
        <v>2</v>
      </c>
      <c r="F1" s="2" t="s">
        <v>36</v>
      </c>
      <c r="G1" s="2" t="s">
        <v>34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4" t="s">
        <v>35</v>
      </c>
    </row>
    <row r="2" spans="1:13" ht="15.6" x14ac:dyDescent="0.3">
      <c r="A2" s="5">
        <v>1</v>
      </c>
      <c r="B2" s="6" t="s">
        <v>8</v>
      </c>
      <c r="C2" s="7">
        <f ca="1">IFERROR(__xludf.DUMMYFUNCTION("IFERROR(VLOOKUP(TRIM(B2),IMPORTRANGE(""14N0y-t3G954_kz1ubYaar_thJOzUbcwqdgsg5Mfe4EA"",""Sheet1!A:C""),2,FALSE),0)"),372)</f>
        <v>372</v>
      </c>
      <c r="D2" s="5" t="str">
        <f t="shared" ref="D2:D11" ca="1" si="0">IF(C2="","",C2&amp;"KHT-"&amp;TEXT(COUNTA($C$2:C2),"000"))</f>
        <v>372KHT-001</v>
      </c>
      <c r="E2" s="5" t="s">
        <v>9</v>
      </c>
      <c r="F2" s="5">
        <v>1</v>
      </c>
      <c r="G2" s="5">
        <v>1.89</v>
      </c>
      <c r="H2" s="5" t="s">
        <v>10</v>
      </c>
      <c r="I2" s="8">
        <v>46119</v>
      </c>
      <c r="J2" s="9" t="s">
        <v>11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8</v>
      </c>
      <c r="C3" s="12">
        <f ca="1">IFERROR(__xludf.DUMMYFUNCTION("IFERROR(VLOOKUP(TRIM(B3),IMPORTRANGE(""14N0y-t3G954_kz1ubYaar_thJOzUbcwqdgsg5Mfe4EA"",""Sheet1!A:C""),2,FALSE),0)"),372)</f>
        <v>372</v>
      </c>
      <c r="D3" s="10" t="str">
        <f t="shared" ca="1" si="0"/>
        <v>372KHT-002</v>
      </c>
      <c r="E3" s="10" t="s">
        <v>12</v>
      </c>
      <c r="F3" s="10">
        <v>1</v>
      </c>
      <c r="G3" s="10">
        <v>2.42</v>
      </c>
      <c r="H3" s="10" t="s">
        <v>13</v>
      </c>
      <c r="I3" s="13">
        <v>46119</v>
      </c>
      <c r="J3" s="14" t="s">
        <v>11</v>
      </c>
      <c r="K3" s="13">
        <v>46121</v>
      </c>
      <c r="L3" s="10">
        <v>2.42</v>
      </c>
      <c r="M3" s="10"/>
    </row>
    <row r="4" spans="1:13" ht="15.6" x14ac:dyDescent="0.3">
      <c r="A4" s="5">
        <v>3</v>
      </c>
      <c r="B4" s="6" t="s">
        <v>8</v>
      </c>
      <c r="C4" s="7">
        <f ca="1">IFERROR(__xludf.DUMMYFUNCTION("IFERROR(VLOOKUP(TRIM(B4),IMPORTRANGE(""14N0y-t3G954_kz1ubYaar_thJOzUbcwqdgsg5Mfe4EA"",""Sheet1!A:C""),2,FALSE),0)"),372)</f>
        <v>372</v>
      </c>
      <c r="D4" s="5" t="str">
        <f t="shared" ca="1" si="0"/>
        <v>372KHT-003</v>
      </c>
      <c r="E4" s="5" t="s">
        <v>14</v>
      </c>
      <c r="F4" s="10">
        <v>1</v>
      </c>
      <c r="G4" s="5">
        <v>0.68</v>
      </c>
      <c r="H4" s="5" t="s">
        <v>15</v>
      </c>
      <c r="I4" s="8">
        <v>46119</v>
      </c>
      <c r="J4" s="9" t="s">
        <v>11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8</v>
      </c>
      <c r="C5" s="12">
        <f ca="1">IFERROR(__xludf.DUMMYFUNCTION("IFERROR(VLOOKUP(TRIM(B5),IMPORTRANGE(""14N0y-t3G954_kz1ubYaar_thJOzUbcwqdgsg5Mfe4EA"",""Sheet1!A:C""),2,FALSE),0)"),372)</f>
        <v>372</v>
      </c>
      <c r="D5" s="10" t="str">
        <f t="shared" ca="1" si="0"/>
        <v>372KHT-004</v>
      </c>
      <c r="E5" s="10" t="s">
        <v>16</v>
      </c>
      <c r="F5" s="10">
        <v>1</v>
      </c>
      <c r="G5" s="10">
        <v>2.08</v>
      </c>
      <c r="H5" s="10" t="s">
        <v>10</v>
      </c>
      <c r="I5" s="13">
        <v>46119</v>
      </c>
      <c r="J5" s="14" t="s">
        <v>17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8</v>
      </c>
      <c r="C6" s="7">
        <f ca="1">IFERROR(__xludf.DUMMYFUNCTION("IFERROR(VLOOKUP(TRIM(B6),IMPORTRANGE(""14N0y-t3G954_kz1ubYaar_thJOzUbcwqdgsg5Mfe4EA"",""Sheet1!A:C""),2,FALSE),0)"),372)</f>
        <v>372</v>
      </c>
      <c r="D6" s="5" t="str">
        <f t="shared" ca="1" si="0"/>
        <v>372KHT-005</v>
      </c>
      <c r="E6" s="5" t="s">
        <v>18</v>
      </c>
      <c r="F6" s="10">
        <v>1</v>
      </c>
      <c r="G6" s="5">
        <v>0.4</v>
      </c>
      <c r="H6" s="5" t="s">
        <v>19</v>
      </c>
      <c r="I6" s="8">
        <v>46119</v>
      </c>
      <c r="J6" s="9" t="s">
        <v>17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8</v>
      </c>
      <c r="C7" s="12">
        <f ca="1">IFERROR(__xludf.DUMMYFUNCTION("IFERROR(VLOOKUP(TRIM(B7),IMPORTRANGE(""14N0y-t3G954_kz1ubYaar_thJOzUbcwqdgsg5Mfe4EA"",""Sheet1!A:C""),2,FALSE),0)"),372)</f>
        <v>372</v>
      </c>
      <c r="D7" s="10" t="str">
        <f t="shared" ca="1" si="0"/>
        <v>372KHT-006</v>
      </c>
      <c r="E7" s="10" t="s">
        <v>20</v>
      </c>
      <c r="F7" s="10">
        <v>1</v>
      </c>
      <c r="G7" s="10">
        <v>1.31</v>
      </c>
      <c r="H7" s="10" t="s">
        <v>19</v>
      </c>
      <c r="I7" s="13">
        <v>46119</v>
      </c>
      <c r="J7" s="14" t="s">
        <v>17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8</v>
      </c>
      <c r="C8" s="7">
        <f ca="1">IFERROR(__xludf.DUMMYFUNCTION("IFERROR(VLOOKUP(TRIM(B8),IMPORTRANGE(""14N0y-t3G954_kz1ubYaar_thJOzUbcwqdgsg5Mfe4EA"",""Sheet1!A:C""),2,FALSE),0)"),372)</f>
        <v>372</v>
      </c>
      <c r="D8" s="5" t="str">
        <f t="shared" ca="1" si="0"/>
        <v>372KHT-007</v>
      </c>
      <c r="E8" s="5" t="s">
        <v>21</v>
      </c>
      <c r="F8" s="10">
        <v>1</v>
      </c>
      <c r="G8" s="5">
        <v>1.79</v>
      </c>
      <c r="H8" s="5" t="s">
        <v>22</v>
      </c>
      <c r="I8" s="8">
        <v>46119</v>
      </c>
      <c r="J8" s="9" t="s">
        <v>23</v>
      </c>
      <c r="K8" s="8">
        <v>46121</v>
      </c>
      <c r="L8" s="5">
        <v>1.79</v>
      </c>
      <c r="M8" s="5" t="s">
        <v>24</v>
      </c>
    </row>
    <row r="9" spans="1:13" ht="15.6" x14ac:dyDescent="0.3">
      <c r="A9" s="10">
        <v>8</v>
      </c>
      <c r="B9" s="11" t="s">
        <v>25</v>
      </c>
      <c r="C9" s="12">
        <f ca="1">IFERROR(__xludf.DUMMYFUNCTION("IFERROR(VLOOKUP(TRIM(B9),IMPORTRANGE(""14N0y-t3G954_kz1ubYaar_thJOzUbcwqdgsg5Mfe4EA"",""Sheet1!A:C""),2,FALSE),0)"),98)</f>
        <v>98</v>
      </c>
      <c r="D9" s="10" t="str">
        <f t="shared" ca="1" si="0"/>
        <v>98KHT-008</v>
      </c>
      <c r="E9" s="10" t="s">
        <v>26</v>
      </c>
      <c r="F9" s="10">
        <v>1</v>
      </c>
      <c r="G9" s="10">
        <v>3.96</v>
      </c>
      <c r="H9" s="10" t="s">
        <v>27</v>
      </c>
      <c r="I9" s="13">
        <v>46125</v>
      </c>
      <c r="J9" s="14" t="s">
        <v>28</v>
      </c>
      <c r="K9" s="13">
        <v>46126</v>
      </c>
      <c r="L9" s="10">
        <v>3.96</v>
      </c>
      <c r="M9" s="10" t="s">
        <v>29</v>
      </c>
    </row>
    <row r="10" spans="1:13" ht="15.6" x14ac:dyDescent="0.3">
      <c r="A10" s="5">
        <v>9</v>
      </c>
      <c r="B10" s="6" t="s">
        <v>25</v>
      </c>
      <c r="C10" s="7">
        <f ca="1">IFERROR(__xludf.DUMMYFUNCTION("IFERROR(VLOOKUP(TRIM(B10),IMPORTRANGE(""14N0y-t3G954_kz1ubYaar_thJOzUbcwqdgsg5Mfe4EA"",""Sheet1!A:C""),2,FALSE),0)"),98)</f>
        <v>98</v>
      </c>
      <c r="D10" s="5" t="str">
        <f t="shared" ca="1" si="0"/>
        <v>98KHT-009</v>
      </c>
      <c r="E10" s="5" t="s">
        <v>30</v>
      </c>
      <c r="F10" s="10">
        <v>1</v>
      </c>
      <c r="G10" s="5">
        <v>3.82</v>
      </c>
      <c r="H10" s="5" t="s">
        <v>27</v>
      </c>
      <c r="I10" s="8">
        <v>46125</v>
      </c>
      <c r="J10" s="9" t="s">
        <v>28</v>
      </c>
      <c r="K10" s="8">
        <v>46126</v>
      </c>
      <c r="L10" s="5">
        <v>3.82</v>
      </c>
      <c r="M10" s="5" t="s">
        <v>29</v>
      </c>
    </row>
    <row r="11" spans="1:13" ht="15.6" x14ac:dyDescent="0.3">
      <c r="A11" s="10">
        <v>10</v>
      </c>
      <c r="B11" s="11" t="s">
        <v>25</v>
      </c>
      <c r="C11" s="12">
        <f ca="1">IFERROR(__xludf.DUMMYFUNCTION("IFERROR(VLOOKUP(TRIM(B11),IMPORTRANGE(""14N0y-t3G954_kz1ubYaar_thJOzUbcwqdgsg5Mfe4EA"",""Sheet1!A:C""),2,FALSE),0)"),98)</f>
        <v>98</v>
      </c>
      <c r="D11" s="10" t="str">
        <f t="shared" ca="1" si="0"/>
        <v>98KHT-010</v>
      </c>
      <c r="E11" s="10" t="s">
        <v>31</v>
      </c>
      <c r="F11" s="10">
        <v>1</v>
      </c>
      <c r="G11" s="10">
        <v>2.97</v>
      </c>
      <c r="H11" s="10" t="s">
        <v>32</v>
      </c>
      <c r="I11" s="13">
        <v>46125</v>
      </c>
      <c r="J11" s="14" t="s">
        <v>28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2026-05-08T12:08:23Z</dcterms:modified>
</cp:coreProperties>
</file>